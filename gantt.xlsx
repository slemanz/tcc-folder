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_git\FOLDER_TCC\"/>
    </mc:Choice>
  </mc:AlternateContent>
  <xr:revisionPtr revIDLastSave="0" documentId="13_ncr:1_{2310A7A3-2DC2-4B11-B67C-E7EB20CC2F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2" i="1"/>
  <c r="B11" i="1"/>
  <c r="C11" i="1"/>
  <c r="B8" i="1"/>
  <c r="C2" i="1"/>
  <c r="B3" i="1" s="1"/>
  <c r="C3" i="1" s="1"/>
  <c r="B4" i="1" s="1"/>
  <c r="C4" i="1" s="1"/>
  <c r="B5" i="1" l="1"/>
  <c r="C5" i="1" s="1"/>
  <c r="B6" i="1" s="1"/>
  <c r="C6" i="1" s="1"/>
  <c r="C8" i="1" l="1"/>
  <c r="B9" i="1" s="1"/>
  <c r="C9" i="1" s="1"/>
  <c r="B10" i="1" s="1"/>
  <c r="C10" i="1" s="1"/>
  <c r="B7" i="1"/>
  <c r="C7" i="1" s="1"/>
</calcChain>
</file>

<file path=xl/sharedStrings.xml><?xml version="1.0" encoding="utf-8"?>
<sst xmlns="http://schemas.openxmlformats.org/spreadsheetml/2006/main" count="14" uniqueCount="14">
  <si>
    <t>Atividade</t>
  </si>
  <si>
    <t>Desenvolvimento dos Drivers de Baixo Nível</t>
  </si>
  <si>
    <t>Desenvolvimento de Hardware</t>
  </si>
  <si>
    <t>Desenvolvimento dos Drivers de Alto Nível</t>
  </si>
  <si>
    <t>Desenvolvimento do código de apliação</t>
  </si>
  <si>
    <t>Teste e Validação</t>
  </si>
  <si>
    <t>Desenvolvimento de uma PCI</t>
  </si>
  <si>
    <t>Início</t>
  </si>
  <si>
    <t>Término</t>
  </si>
  <si>
    <t>Duração</t>
  </si>
  <si>
    <t>Revisão</t>
  </si>
  <si>
    <t>Escrita dos Resultados</t>
  </si>
  <si>
    <t>Escita da Conclusão</t>
  </si>
  <si>
    <t>Escrita do Resumo e Abstract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</si>
</sst>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74037981225944"/>
          <c:y val="7.2693330609350515E-2"/>
          <c:w val="0.70194352768610191"/>
          <c:h val="0.8928374302873826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Plan1!$B$1</c:f>
              <c:strCache>
                <c:ptCount val="1"/>
                <c:pt idx="0">
                  <c:v>Início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Plan1!$A$2:$A$11</c:f>
              <c:strCache>
                <c:ptCount val="10"/>
                <c:pt idx="0">
                  <c:v>Desenvolvimento dos Drivers de Baixo Nível</c:v>
                </c:pt>
                <c:pt idx="1">
                  <c:v>Desenvolvimento de Hardware</c:v>
                </c:pt>
                <c:pt idx="2">
                  <c:v>Desenvolvimento dos Drivers de Alto Nível</c:v>
                </c:pt>
                <c:pt idx="3">
                  <c:v>Desenvolvimento do código de apliação</c:v>
                </c:pt>
                <c:pt idx="4">
                  <c:v>Teste e Validação</c:v>
                </c:pt>
                <c:pt idx="5">
                  <c:v>Desenvolvimento de uma PCI</c:v>
                </c:pt>
                <c:pt idx="6">
                  <c:v>Escrita dos Resultados</c:v>
                </c:pt>
                <c:pt idx="7">
                  <c:v>Escita da Conclusão</c:v>
                </c:pt>
                <c:pt idx="8">
                  <c:v>Escrita do Resumo e Abstract</c:v>
                </c:pt>
                <c:pt idx="9">
                  <c:v>Revisão</c:v>
                </c:pt>
              </c:strCache>
            </c:strRef>
          </c:cat>
          <c:val>
            <c:numRef>
              <c:f>Plan1!$B$2:$B$11</c:f>
              <c:numCache>
                <c:formatCode>m/d/yyyy</c:formatCode>
                <c:ptCount val="10"/>
                <c:pt idx="0">
                  <c:v>45658</c:v>
                </c:pt>
                <c:pt idx="1">
                  <c:v>45679</c:v>
                </c:pt>
                <c:pt idx="2">
                  <c:v>45700</c:v>
                </c:pt>
                <c:pt idx="3">
                  <c:v>45700</c:v>
                </c:pt>
                <c:pt idx="4">
                  <c:v>45721</c:v>
                </c:pt>
                <c:pt idx="5">
                  <c:v>45742</c:v>
                </c:pt>
                <c:pt idx="6">
                  <c:v>45742</c:v>
                </c:pt>
                <c:pt idx="7">
                  <c:v>45763</c:v>
                </c:pt>
                <c:pt idx="8">
                  <c:v>45770</c:v>
                </c:pt>
                <c:pt idx="9">
                  <c:v>45784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8-4476-8CFF-5C8EC4B70220}"/>
            </c:ext>
          </c:extLst>
        </c:ser>
        <c:ser>
          <c:idx val="1"/>
          <c:order val="1"/>
          <c:tx>
            <c:strRef>
              <c:f>Plan1!$D$1</c:f>
              <c:strCache>
                <c:ptCount val="1"/>
                <c:pt idx="0">
                  <c:v>Duração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E68-4476-8CFF-5C8EC4B7022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68-4476-8CFF-5C8EC4B7022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E68-4476-8CFF-5C8EC4B7022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E68-4476-8CFF-5C8EC4B70220}"/>
              </c:ext>
            </c:extLst>
          </c:dPt>
          <c:cat>
            <c:strRef>
              <c:f>Plan1!$A$2:$A$11</c:f>
              <c:strCache>
                <c:ptCount val="10"/>
                <c:pt idx="0">
                  <c:v>Desenvolvimento dos Drivers de Baixo Nível</c:v>
                </c:pt>
                <c:pt idx="1">
                  <c:v>Desenvolvimento de Hardware</c:v>
                </c:pt>
                <c:pt idx="2">
                  <c:v>Desenvolvimento dos Drivers de Alto Nível</c:v>
                </c:pt>
                <c:pt idx="3">
                  <c:v>Desenvolvimento do código de apliação</c:v>
                </c:pt>
                <c:pt idx="4">
                  <c:v>Teste e Validação</c:v>
                </c:pt>
                <c:pt idx="5">
                  <c:v>Desenvolvimento de uma PCI</c:v>
                </c:pt>
                <c:pt idx="6">
                  <c:v>Escrita dos Resultados</c:v>
                </c:pt>
                <c:pt idx="7">
                  <c:v>Escita da Conclusão</c:v>
                </c:pt>
                <c:pt idx="8">
                  <c:v>Escrita do Resumo e Abstract</c:v>
                </c:pt>
                <c:pt idx="9">
                  <c:v>Revisão</c:v>
                </c:pt>
              </c:strCache>
            </c:strRef>
          </c:cat>
          <c:val>
            <c:numRef>
              <c:f>Plan1!$D$2:$D$11</c:f>
              <c:numCache>
                <c:formatCode>General</c:formatCode>
                <c:ptCount val="1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7</c:v>
                </c:pt>
                <c:pt idx="8">
                  <c:v>14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68-4476-8CFF-5C8EC4B70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9860736"/>
        <c:axId val="669862656"/>
      </c:barChart>
      <c:catAx>
        <c:axId val="6698607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9862656"/>
        <c:crosses val="autoZero"/>
        <c:auto val="1"/>
        <c:lblAlgn val="ctr"/>
        <c:lblOffset val="100"/>
        <c:noMultiLvlLbl val="0"/>
      </c:catAx>
      <c:valAx>
        <c:axId val="669862656"/>
        <c:scaling>
          <c:orientation val="minMax"/>
          <c:max val="45805"/>
          <c:min val="4565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986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5</xdr:row>
      <xdr:rowOff>100011</xdr:rowOff>
    </xdr:from>
    <xdr:to>
      <xdr:col>21</xdr:col>
      <xdr:colOff>161925</xdr:colOff>
      <xdr:row>26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88CFC9-DC9B-44EE-FD58-795FCDCF2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T31" sqref="T31"/>
    </sheetView>
  </sheetViews>
  <sheetFormatPr defaultRowHeight="15" x14ac:dyDescent="0.25"/>
  <cols>
    <col min="1" max="1" width="41" bestFit="1" customWidth="1"/>
    <col min="2" max="3" width="10.7109375" bestFit="1" customWidth="1"/>
  </cols>
  <sheetData>
    <row r="1" spans="1:6" x14ac:dyDescent="0.25">
      <c r="A1" t="s">
        <v>0</v>
      </c>
      <c r="B1" t="s">
        <v>7</v>
      </c>
      <c r="C1" t="s">
        <v>8</v>
      </c>
      <c r="D1" t="s">
        <v>9</v>
      </c>
    </row>
    <row r="2" spans="1:6" x14ac:dyDescent="0.25">
      <c r="A2" t="s">
        <v>1</v>
      </c>
      <c r="B2" s="1">
        <v>45658</v>
      </c>
      <c r="C2" s="1">
        <f>(B2+D2)</f>
        <v>45679</v>
      </c>
      <c r="D2">
        <v>21</v>
      </c>
      <c r="F2">
        <f>_xlfn.NUMBERVALUE(B2)</f>
        <v>45658</v>
      </c>
    </row>
    <row r="3" spans="1:6" x14ac:dyDescent="0.25">
      <c r="A3" t="s">
        <v>2</v>
      </c>
      <c r="B3" s="1">
        <f>C2</f>
        <v>45679</v>
      </c>
      <c r="C3" s="1">
        <f t="shared" ref="C3:C11" si="0">(B3+D3)</f>
        <v>45700</v>
      </c>
      <c r="D3">
        <v>21</v>
      </c>
    </row>
    <row r="4" spans="1:6" x14ac:dyDescent="0.25">
      <c r="A4" t="s">
        <v>3</v>
      </c>
      <c r="B4" s="1">
        <f>C3</f>
        <v>45700</v>
      </c>
      <c r="C4" s="1">
        <f t="shared" si="0"/>
        <v>45721</v>
      </c>
      <c r="D4">
        <v>21</v>
      </c>
    </row>
    <row r="5" spans="1:6" x14ac:dyDescent="0.25">
      <c r="A5" t="s">
        <v>4</v>
      </c>
      <c r="B5" s="1">
        <f>C3</f>
        <v>45700</v>
      </c>
      <c r="C5" s="1">
        <f t="shared" si="0"/>
        <v>45721</v>
      </c>
      <c r="D5">
        <v>21</v>
      </c>
    </row>
    <row r="6" spans="1:6" x14ac:dyDescent="0.25">
      <c r="A6" t="s">
        <v>5</v>
      </c>
      <c r="B6" s="1">
        <f>C5</f>
        <v>45721</v>
      </c>
      <c r="C6" s="1">
        <f t="shared" si="0"/>
        <v>45742</v>
      </c>
      <c r="D6">
        <v>21</v>
      </c>
    </row>
    <row r="7" spans="1:6" x14ac:dyDescent="0.25">
      <c r="A7" t="s">
        <v>6</v>
      </c>
      <c r="B7" s="1">
        <f>C6</f>
        <v>45742</v>
      </c>
      <c r="C7" s="1">
        <f t="shared" si="0"/>
        <v>45763</v>
      </c>
      <c r="D7">
        <v>21</v>
      </c>
    </row>
    <row r="8" spans="1:6" x14ac:dyDescent="0.25">
      <c r="A8" t="s">
        <v>11</v>
      </c>
      <c r="B8" s="1">
        <f>C6</f>
        <v>45742</v>
      </c>
      <c r="C8" s="1">
        <f t="shared" si="0"/>
        <v>45763</v>
      </c>
      <c r="D8">
        <v>21</v>
      </c>
    </row>
    <row r="9" spans="1:6" x14ac:dyDescent="0.25">
      <c r="A9" t="s">
        <v>12</v>
      </c>
      <c r="B9" s="1">
        <f>C8</f>
        <v>45763</v>
      </c>
      <c r="C9" s="1">
        <f t="shared" si="0"/>
        <v>45770</v>
      </c>
      <c r="D9">
        <v>7</v>
      </c>
    </row>
    <row r="10" spans="1:6" x14ac:dyDescent="0.25">
      <c r="A10" t="s">
        <v>13</v>
      </c>
      <c r="B10" s="1">
        <f>C9</f>
        <v>45770</v>
      </c>
      <c r="C10" s="1">
        <f t="shared" si="0"/>
        <v>45784</v>
      </c>
      <c r="D10">
        <v>14</v>
      </c>
    </row>
    <row r="11" spans="1:6" x14ac:dyDescent="0.25">
      <c r="A11" t="s">
        <v>10</v>
      </c>
      <c r="B11" s="1">
        <f>C10</f>
        <v>45784</v>
      </c>
      <c r="C11" s="1">
        <f t="shared" si="0"/>
        <v>45805</v>
      </c>
      <c r="D11">
        <v>21</v>
      </c>
      <c r="F11">
        <f>_xlfn.NUMBERVALUE(C11)</f>
        <v>45805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Sleman</dc:creator>
  <cp:lastModifiedBy>William Sleman</cp:lastModifiedBy>
  <dcterms:created xsi:type="dcterms:W3CDTF">2015-06-05T18:19:34Z</dcterms:created>
  <dcterms:modified xsi:type="dcterms:W3CDTF">2024-10-28T07:32:58Z</dcterms:modified>
</cp:coreProperties>
</file>